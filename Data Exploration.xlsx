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8218a7f0a5d2bbe/Documents/Datat analyst_Naveen/"/>
    </mc:Choice>
  </mc:AlternateContent>
  <xr:revisionPtr revIDLastSave="7" documentId="11_B2B7CAC6DD42C9264B01C74F48DF553EC1B2404F" xr6:coauthVersionLast="47" xr6:coauthVersionMax="47" xr10:uidLastSave="{D2907385-AC01-4C72-B1B9-F402FA98D5EB}"/>
  <bookViews>
    <workbookView xWindow="-110" yWindow="-110" windowWidth="19420" windowHeight="11020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Dataset!$A$1:$J$35</definedName>
    <definedName name="_xlnm.Criteria" localSheetId="1">Dataset!$B$1</definedName>
    <definedName name="_xlnm.Extract" localSheetId="1">Dataset!$R$2:$AA$2</definedName>
  </definedNames>
  <calcPr calcId="191029"/>
</workbook>
</file>

<file path=xl/calcChain.xml><?xml version="1.0" encoding="utf-8"?>
<calcChain xmlns="http://schemas.openxmlformats.org/spreadsheetml/2006/main">
  <c r="O4" i="2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O14" i="2"/>
  <c r="O1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O10" i="2"/>
  <c r="O8" i="2"/>
  <c r="O6" i="2"/>
  <c r="O2" i="2"/>
</calcChain>
</file>

<file path=xl/sharedStrings.xml><?xml version="1.0" encoding="utf-8"?>
<sst xmlns="http://schemas.openxmlformats.org/spreadsheetml/2006/main" count="171" uniqueCount="122">
  <si>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</si>
  <si>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</si>
  <si>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</si>
  <si>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</si>
  <si>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</si>
  <si>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</si>
  <si>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</si>
  <si>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</si>
  <si>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</si>
  <si>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</si>
  <si>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</si>
  <si>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</si>
  <si>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</si>
  <si>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</si>
  <si>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</si>
  <si>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</si>
  <si>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</si>
  <si>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</si>
  <si>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</si>
  <si>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</si>
  <si>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</si>
  <si>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</si>
  <si>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</si>
  <si>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</si>
  <si>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</si>
  <si>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</si>
  <si>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</si>
  <si>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</si>
  <si>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</si>
  <si>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</si>
  <si>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</si>
  <si>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</si>
  <si>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</si>
  <si>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</si>
  <si>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</si>
  <si>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</si>
  <si>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</si>
  <si>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</si>
  <si>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</si>
  <si>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</si>
  <si>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</si>
  <si>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</si>
  <si>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</si>
  <si>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</si>
  <si>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</si>
  <si>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</si>
  <si>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</si>
  <si>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</si>
  <si>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</si>
  <si>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</si>
  <si>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</si>
  <si>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</si>
  <si>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</si>
  <si>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</si>
  <si>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</si>
  <si>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</si>
  <si>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</si>
  <si>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</si>
  <si>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</si>
  <si>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</si>
  <si>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</si>
  <si>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</si>
  <si>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</si>
  <si>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</si>
  <si>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</si>
  <si>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</si>
  <si>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</si>
  <si>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</si>
  <si>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</si>
  <si>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</si>
  <si>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</si>
  <si>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</si>
  <si>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</si>
  <si>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</si>
  <si>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</si>
  <si>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</si>
  <si>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</si>
  <si>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</si>
  <si>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</si>
  <si>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</si>
  <si>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</si>
  <si>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</si>
  <si>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</si>
  <si>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</si>
  <si>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</si>
  <si>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</si>
  <si>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</si>
  <si>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</si>
  <si>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</si>
  <si>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</si>
  <si>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</si>
  <si>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</si>
  <si>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</si>
  <si>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</si>
  <si>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</si>
  <si>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</si>
  <si>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</si>
  <si>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</si>
  <si>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</si>
  <si>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</si>
  <si>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</si>
  <si>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</si>
  <si>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</si>
  <si>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</si>
  <si>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</si>
  <si>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</si>
  <si>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</si>
  <si>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</si>
  <si>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</si>
  <si>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</si>
  <si>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What is the total price of all products in the dataset?</t>
  </si>
  <si>
    <t>How many products are there in the dataset?</t>
  </si>
  <si>
    <t>Answers</t>
  </si>
  <si>
    <t>Calculate the average price of the products</t>
  </si>
  <si>
    <t>Determine the minimum price among all products</t>
  </si>
  <si>
    <t>Find the maximum price among all products</t>
  </si>
  <si>
    <t>Price Range</t>
  </si>
  <si>
    <t>Calculate the total price for products in the 'Electronics' category using the SUMIF function</t>
  </si>
  <si>
    <t>Determine the count of products with a price less than $100 using the COUNTIF function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</si>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</sst>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0" fillId="4" borderId="0" xfId="0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EDD491-5C2A-447C-A2FE-4756F297CF75}" name="Table1" displayName="Table1" ref="A1:J35" totalsRowShown="0" headerRowDxfId="11" dataDxfId="10">
  <tableColumns count="10">
    <tableColumn id="1" xr3:uid="{0CFC8FFE-E982-44C4-B5A0-80E133918D02}" name="Product ID" dataDxfId="9"/>
    <tableColumn id="2" xr3:uid="{2031C258-2C73-4278-8731-DEE4E226B5D4}" name="Product Name" dataDxfId="8"/>
    <tableColumn id="3" xr3:uid="{88FF8303-D02A-42DF-B975-83CC9E4B2DEF}" name="Brand Name" dataDxfId="7"/>
    <tableColumn id="4" xr3:uid="{3BA525B3-BDE2-46F3-8C9D-3D2E763333CB}" name="Price ($)" dataDxfId="6"/>
    <tableColumn id="5" xr3:uid="{678CF2CF-152B-4A45-A996-1392F9DC5672}" name="Quantity" dataDxfId="5"/>
    <tableColumn id="6" xr3:uid="{02ABE54D-FB0F-499D-AB32-703062C2C93F}" name="Category" dataDxfId="4"/>
    <tableColumn id="8" xr3:uid="{17113061-9174-4A65-BB1C-6F003B9FBCE5}" name="Price Range" dataDxfId="3">
      <calculatedColumnFormula>IF(Table1[[#This Row],[Price ($)]]&gt;=500,"High Price","Standard Price")</calculatedColumnFormula>
    </tableColumn>
    <tableColumn id="9" xr3:uid="{38888AB0-AF19-4B4E-9F52-0A7CFF384E50}" name="Day" dataDxfId="2">
      <calculatedColumnFormula>LEFT(A2,2)</calculatedColumnFormula>
    </tableColumn>
    <tableColumn id="10" xr3:uid="{7DCC2F70-A9FA-48B1-88F8-E5619F18B8CE}" name="Country code" dataDxfId="1">
      <calculatedColumnFormula>RIGHT(A2,2)</calculatedColumnFormula>
    </tableColumn>
    <tableColumn id="11" xr3:uid="{7447ECD8-5329-41E0-94C0-2F7F62D90F32}" name="Month" dataDxfId="0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B7" workbookViewId="0">
      <selection activeCell="C17" sqref="C17"/>
    </sheetView>
  </sheetViews>
  <sheetFormatPr defaultColWidth="12.6328125" defaultRowHeight="15.75" customHeight="1" x14ac:dyDescent="0.25"/>
  <sheetData>
    <row r="1" spans="1:26" ht="1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36"/>
  <sheetViews>
    <sheetView zoomScale="63" zoomScaleNormal="63" workbookViewId="0">
      <selection activeCell="L24" sqref="L24"/>
    </sheetView>
  </sheetViews>
  <sheetFormatPr defaultColWidth="12.6328125" defaultRowHeight="15.75" customHeight="1" x14ac:dyDescent="0.25"/>
  <cols>
    <col min="2" max="2" width="15" customWidth="1"/>
    <col min="3" max="3" width="13.36328125" customWidth="1"/>
  </cols>
  <sheetData>
    <row r="1" spans="1:27" ht="13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116</v>
      </c>
      <c r="H1" s="5" t="s">
        <v>119</v>
      </c>
      <c r="I1" s="5" t="s">
        <v>120</v>
      </c>
      <c r="J1" s="5" t="s">
        <v>121</v>
      </c>
      <c r="O1" s="9" t="s">
        <v>112</v>
      </c>
    </row>
    <row r="2" spans="1:27" ht="15.75" customHeight="1" x14ac:dyDescent="0.3">
      <c r="A2" s="2" t="s">
        <v>23</v>
      </c>
      <c r="B2" s="2" t="s">
        <v>24</v>
      </c>
      <c r="C2" s="2" t="s">
        <v>25</v>
      </c>
      <c r="D2" s="6">
        <v>1000</v>
      </c>
      <c r="E2" s="6">
        <v>30</v>
      </c>
      <c r="F2" s="2" t="s">
        <v>26</v>
      </c>
      <c r="G2" s="7" t="str">
        <f>IF(Table1[[#This Row],[Price ($)]]&gt;=500,"High Price","Standard Price")</f>
        <v>High Price</v>
      </c>
      <c r="H2" s="10" t="str">
        <f t="shared" ref="H2:H35" si="0">LEFT(A2,2)</f>
        <v>28</v>
      </c>
      <c r="I2" s="10" t="str">
        <f t="shared" ref="I2:I35" si="1">RIGHT(A2,2)</f>
        <v>US</v>
      </c>
      <c r="J2" s="10" t="str">
        <f t="shared" ref="J2:J35" si="2">MID(A2,4,3)</f>
        <v>JAN</v>
      </c>
      <c r="K2" t="s">
        <v>110</v>
      </c>
      <c r="O2">
        <f>SUM(D2:D35)</f>
        <v>10100</v>
      </c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 x14ac:dyDescent="0.25">
      <c r="A3" s="7" t="s">
        <v>27</v>
      </c>
      <c r="B3" s="7" t="s">
        <v>28</v>
      </c>
      <c r="C3" s="7" t="s">
        <v>29</v>
      </c>
      <c r="D3" s="8">
        <v>80</v>
      </c>
      <c r="E3" s="8">
        <v>15</v>
      </c>
      <c r="F3" s="7" t="s">
        <v>30</v>
      </c>
      <c r="G3" s="7" t="str">
        <f>IF(Table1[[#This Row],[Price ($)]]&gt;=500,"High Price","Standard Price")</f>
        <v>Standard Price</v>
      </c>
      <c r="H3" s="10" t="str">
        <f t="shared" si="0"/>
        <v>15</v>
      </c>
      <c r="I3" s="10" t="str">
        <f t="shared" si="1"/>
        <v>US</v>
      </c>
      <c r="J3" s="10" t="str">
        <f t="shared" si="2"/>
        <v>FEB</v>
      </c>
      <c r="R3" s="2"/>
      <c r="S3" s="2"/>
      <c r="T3" s="2"/>
      <c r="U3" s="6"/>
      <c r="V3" s="6"/>
      <c r="W3" s="2"/>
      <c r="X3" s="7"/>
      <c r="Y3" s="7"/>
      <c r="Z3" s="7"/>
      <c r="AA3" s="7"/>
    </row>
    <row r="4" spans="1:27" ht="15.75" customHeight="1" x14ac:dyDescent="0.25">
      <c r="A4" s="2" t="s">
        <v>31</v>
      </c>
      <c r="B4" s="2" t="s">
        <v>32</v>
      </c>
      <c r="C4" s="2" t="s">
        <v>33</v>
      </c>
      <c r="D4" s="6">
        <v>130</v>
      </c>
      <c r="E4" s="6">
        <v>40</v>
      </c>
      <c r="F4" s="2" t="s">
        <v>34</v>
      </c>
      <c r="G4" s="7" t="str">
        <f>IF(Table1[[#This Row],[Price ($)]]&gt;=500,"High Price","Standard Price")</f>
        <v>Standard Price</v>
      </c>
      <c r="H4" s="10" t="str">
        <f t="shared" si="0"/>
        <v>03</v>
      </c>
      <c r="I4" s="10" t="str">
        <f t="shared" si="1"/>
        <v>US</v>
      </c>
      <c r="J4" s="10" t="str">
        <f t="shared" si="2"/>
        <v>MAR</v>
      </c>
      <c r="K4" t="s">
        <v>111</v>
      </c>
      <c r="O4">
        <f>COUNTA(B2:B35)</f>
        <v>34</v>
      </c>
      <c r="R4" s="7"/>
      <c r="S4" s="7"/>
      <c r="T4" s="7"/>
      <c r="U4" s="8"/>
      <c r="V4" s="8"/>
      <c r="W4" s="7"/>
      <c r="X4" s="7"/>
      <c r="Y4" s="7"/>
      <c r="Z4" s="7"/>
      <c r="AA4" s="7"/>
    </row>
    <row r="5" spans="1:27" ht="15.75" customHeight="1" x14ac:dyDescent="0.35">
      <c r="A5" s="7" t="s">
        <v>35</v>
      </c>
      <c r="B5" s="7" t="s">
        <v>36</v>
      </c>
      <c r="C5" s="7" t="s">
        <v>37</v>
      </c>
      <c r="D5" s="8">
        <v>900</v>
      </c>
      <c r="E5" s="8">
        <v>25</v>
      </c>
      <c r="F5" s="7" t="s">
        <v>26</v>
      </c>
      <c r="G5" s="7" t="str">
        <f>IF(Table1[[#This Row],[Price ($)]]&gt;=500,"High Price","Standard Price")</f>
        <v>High Price</v>
      </c>
      <c r="H5" s="10" t="str">
        <f t="shared" si="0"/>
        <v>11</v>
      </c>
      <c r="I5" s="10" t="str">
        <f t="shared" si="1"/>
        <v>US</v>
      </c>
      <c r="J5" s="10" t="str">
        <f t="shared" si="2"/>
        <v>APR</v>
      </c>
      <c r="K5" s="4"/>
      <c r="R5" s="2"/>
      <c r="S5" s="2"/>
      <c r="T5" s="2"/>
      <c r="U5" s="6"/>
      <c r="V5" s="6"/>
      <c r="W5" s="2"/>
      <c r="X5" s="7"/>
      <c r="Y5" s="7"/>
      <c r="Z5" s="7"/>
      <c r="AA5" s="7"/>
    </row>
    <row r="6" spans="1:27" ht="15.75" customHeight="1" x14ac:dyDescent="0.25">
      <c r="A6" s="2" t="s">
        <v>38</v>
      </c>
      <c r="B6" s="2" t="s">
        <v>39</v>
      </c>
      <c r="C6" s="2" t="s">
        <v>40</v>
      </c>
      <c r="D6" s="6">
        <v>70</v>
      </c>
      <c r="E6" s="6">
        <v>20</v>
      </c>
      <c r="F6" s="2" t="s">
        <v>41</v>
      </c>
      <c r="G6" s="7" t="str">
        <f>IF(Table1[[#This Row],[Price ($)]]&gt;=500,"High Price","Standard Price")</f>
        <v>Standard Price</v>
      </c>
      <c r="H6" s="10" t="str">
        <f t="shared" si="0"/>
        <v>22</v>
      </c>
      <c r="I6" s="10" t="str">
        <f t="shared" si="1"/>
        <v>US</v>
      </c>
      <c r="J6" s="10" t="str">
        <f t="shared" si="2"/>
        <v>MAY</v>
      </c>
      <c r="K6" t="s">
        <v>113</v>
      </c>
      <c r="O6">
        <f>AVERAGE(D2:D35)</f>
        <v>297.05882352941177</v>
      </c>
      <c r="R6" s="7"/>
      <c r="S6" s="7"/>
      <c r="T6" s="7"/>
      <c r="U6" s="8"/>
      <c r="V6" s="8"/>
      <c r="W6" s="7"/>
      <c r="X6" s="7"/>
      <c r="Y6" s="7"/>
      <c r="Z6" s="7"/>
      <c r="AA6" s="7"/>
    </row>
    <row r="7" spans="1:27" ht="15.75" customHeight="1" x14ac:dyDescent="0.25">
      <c r="A7" s="7" t="s">
        <v>42</v>
      </c>
      <c r="B7" s="7" t="s">
        <v>43</v>
      </c>
      <c r="C7" s="7" t="s">
        <v>44</v>
      </c>
      <c r="D7" s="8">
        <v>200</v>
      </c>
      <c r="E7" s="8">
        <v>45</v>
      </c>
      <c r="F7" s="7" t="s">
        <v>26</v>
      </c>
      <c r="G7" s="7" t="str">
        <f>IF(Table1[[#This Row],[Price ($)]]&gt;=500,"High Price","Standard Price")</f>
        <v>Standard Price</v>
      </c>
      <c r="H7" s="10" t="str">
        <f t="shared" si="0"/>
        <v>07</v>
      </c>
      <c r="I7" s="10" t="str">
        <f t="shared" si="1"/>
        <v>UK</v>
      </c>
      <c r="J7" s="10" t="str">
        <f t="shared" si="2"/>
        <v>JUN</v>
      </c>
      <c r="R7" s="2"/>
      <c r="S7" s="2"/>
      <c r="T7" s="2"/>
      <c r="U7" s="6"/>
      <c r="V7" s="6"/>
      <c r="W7" s="2"/>
      <c r="X7" s="7"/>
      <c r="Y7" s="7"/>
      <c r="Z7" s="7"/>
      <c r="AA7" s="7"/>
    </row>
    <row r="8" spans="1:27" ht="15.75" customHeight="1" x14ac:dyDescent="0.25">
      <c r="A8" s="2" t="s">
        <v>45</v>
      </c>
      <c r="B8" s="2" t="s">
        <v>46</v>
      </c>
      <c r="C8" s="2" t="s">
        <v>47</v>
      </c>
      <c r="D8" s="6">
        <v>30</v>
      </c>
      <c r="E8" s="6">
        <v>5</v>
      </c>
      <c r="F8" s="2" t="s">
        <v>30</v>
      </c>
      <c r="G8" s="7" t="str">
        <f>IF(Table1[[#This Row],[Price ($)]]&gt;=500,"High Price","Standard Price")</f>
        <v>Standard Price</v>
      </c>
      <c r="H8" s="10" t="str">
        <f t="shared" si="0"/>
        <v>19</v>
      </c>
      <c r="I8" s="10" t="str">
        <f t="shared" si="1"/>
        <v>UK</v>
      </c>
      <c r="J8" s="10" t="str">
        <f t="shared" si="2"/>
        <v>JUL</v>
      </c>
      <c r="K8" t="s">
        <v>114</v>
      </c>
      <c r="O8">
        <f>MIN(D2:D35)</f>
        <v>30</v>
      </c>
      <c r="R8" s="7"/>
      <c r="S8" s="7"/>
      <c r="T8" s="7"/>
      <c r="U8" s="8"/>
      <c r="V8" s="8"/>
      <c r="W8" s="7"/>
      <c r="X8" s="7"/>
      <c r="Y8" s="7"/>
      <c r="Z8" s="7"/>
      <c r="AA8" s="7"/>
    </row>
    <row r="9" spans="1:27" ht="15.75" customHeight="1" x14ac:dyDescent="0.25">
      <c r="A9" s="7" t="s">
        <v>48</v>
      </c>
      <c r="B9" s="7" t="s">
        <v>49</v>
      </c>
      <c r="C9" s="7" t="s">
        <v>50</v>
      </c>
      <c r="D9" s="8">
        <v>90</v>
      </c>
      <c r="E9" s="8">
        <v>35</v>
      </c>
      <c r="F9" s="7" t="s">
        <v>34</v>
      </c>
      <c r="G9" s="7" t="str">
        <f>IF(Table1[[#This Row],[Price ($)]]&gt;=500,"High Price","Standard Price")</f>
        <v>Standard Price</v>
      </c>
      <c r="H9" s="10" t="str">
        <f t="shared" si="0"/>
        <v>23</v>
      </c>
      <c r="I9" s="10" t="str">
        <f t="shared" si="1"/>
        <v>UK</v>
      </c>
      <c r="J9" s="10" t="str">
        <f t="shared" si="2"/>
        <v>AUG</v>
      </c>
      <c r="R9" s="2"/>
      <c r="S9" s="2"/>
      <c r="T9" s="2"/>
      <c r="U9" s="6"/>
      <c r="V9" s="6"/>
      <c r="W9" s="2"/>
      <c r="X9" s="7"/>
      <c r="Y9" s="7"/>
      <c r="Z9" s="7"/>
      <c r="AA9" s="7"/>
    </row>
    <row r="10" spans="1:27" ht="15.75" customHeight="1" x14ac:dyDescent="0.25">
      <c r="A10" s="2" t="s">
        <v>51</v>
      </c>
      <c r="B10" s="2" t="s">
        <v>52</v>
      </c>
      <c r="C10" s="2" t="s">
        <v>53</v>
      </c>
      <c r="D10" s="6">
        <v>500</v>
      </c>
      <c r="E10" s="6">
        <v>50</v>
      </c>
      <c r="F10" s="2" t="s">
        <v>26</v>
      </c>
      <c r="G10" s="7" t="str">
        <f>IF(Table1[[#This Row],[Price ($)]]&gt;=500,"High Price","Standard Price")</f>
        <v>High Price</v>
      </c>
      <c r="H10" s="10" t="str">
        <f t="shared" si="0"/>
        <v>05</v>
      </c>
      <c r="I10" s="10" t="str">
        <f t="shared" si="1"/>
        <v>UK</v>
      </c>
      <c r="J10" s="10" t="str">
        <f t="shared" si="2"/>
        <v>SEP</v>
      </c>
      <c r="K10" t="s">
        <v>115</v>
      </c>
      <c r="O10">
        <f>MAX(D2:D35)</f>
        <v>1000</v>
      </c>
      <c r="R10" s="7"/>
      <c r="S10" s="7"/>
      <c r="T10" s="7"/>
      <c r="U10" s="8"/>
      <c r="V10" s="8"/>
      <c r="W10" s="7"/>
      <c r="X10" s="7"/>
      <c r="Y10" s="7"/>
      <c r="Z10" s="7"/>
      <c r="AA10" s="7"/>
    </row>
    <row r="11" spans="1:27" ht="15.75" customHeight="1" x14ac:dyDescent="0.25">
      <c r="A11" s="7" t="s">
        <v>54</v>
      </c>
      <c r="B11" s="7" t="s">
        <v>55</v>
      </c>
      <c r="C11" s="7" t="s">
        <v>56</v>
      </c>
      <c r="D11" s="8">
        <v>130</v>
      </c>
      <c r="E11" s="8">
        <v>10</v>
      </c>
      <c r="F11" s="7" t="s">
        <v>41</v>
      </c>
      <c r="G11" s="7" t="str">
        <f>IF(Table1[[#This Row],[Price ($)]]&gt;=500,"High Price","Standard Price")</f>
        <v>Standard Price</v>
      </c>
      <c r="H11" s="10" t="str">
        <f t="shared" si="0"/>
        <v>14</v>
      </c>
      <c r="I11" s="10" t="str">
        <f t="shared" si="1"/>
        <v>UK</v>
      </c>
      <c r="J11" s="10" t="str">
        <f t="shared" si="2"/>
        <v>OCT</v>
      </c>
      <c r="R11" s="2"/>
      <c r="S11" s="2"/>
      <c r="T11" s="2"/>
      <c r="U11" s="6"/>
      <c r="V11" s="6"/>
      <c r="W11" s="2"/>
      <c r="X11" s="7"/>
      <c r="Y11" s="7"/>
      <c r="Z11" s="7"/>
      <c r="AA11" s="7"/>
    </row>
    <row r="12" spans="1:27" ht="15.75" customHeight="1" x14ac:dyDescent="0.25">
      <c r="A12" s="2" t="s">
        <v>57</v>
      </c>
      <c r="B12" s="2" t="s">
        <v>24</v>
      </c>
      <c r="C12" s="2" t="s">
        <v>58</v>
      </c>
      <c r="D12" s="6">
        <v>950</v>
      </c>
      <c r="E12" s="6">
        <v>25</v>
      </c>
      <c r="F12" s="2" t="s">
        <v>26</v>
      </c>
      <c r="G12" s="7" t="str">
        <f>IF(Table1[[#This Row],[Price ($)]]&gt;=500,"High Price","Standard Price")</f>
        <v>High Price</v>
      </c>
      <c r="H12" s="10" t="str">
        <f t="shared" si="0"/>
        <v>17</v>
      </c>
      <c r="I12" s="10" t="str">
        <f t="shared" si="1"/>
        <v>IN</v>
      </c>
      <c r="J12" s="10" t="str">
        <f t="shared" si="2"/>
        <v>JUN</v>
      </c>
      <c r="K12" t="s">
        <v>117</v>
      </c>
      <c r="O12">
        <f>SUMIF(F2:F35,"Electronics",D2:D35)</f>
        <v>8050</v>
      </c>
      <c r="R12" s="7"/>
      <c r="S12" s="7"/>
      <c r="T12" s="7"/>
      <c r="U12" s="8"/>
      <c r="V12" s="8"/>
      <c r="W12" s="7"/>
      <c r="X12" s="7"/>
      <c r="Y12" s="7"/>
      <c r="Z12" s="7"/>
      <c r="AA12" s="7"/>
    </row>
    <row r="13" spans="1:27" ht="15.75" customHeight="1" x14ac:dyDescent="0.25">
      <c r="A13" s="7" t="s">
        <v>59</v>
      </c>
      <c r="B13" s="7" t="s">
        <v>28</v>
      </c>
      <c r="C13" s="7" t="s">
        <v>47</v>
      </c>
      <c r="D13" s="8">
        <v>90</v>
      </c>
      <c r="E13" s="8">
        <v>40</v>
      </c>
      <c r="F13" s="7" t="s">
        <v>30</v>
      </c>
      <c r="G13" s="7" t="str">
        <f>IF(Table1[[#This Row],[Price ($)]]&gt;=500,"High Price","Standard Price")</f>
        <v>Standard Price</v>
      </c>
      <c r="H13" s="10" t="str">
        <f t="shared" si="0"/>
        <v>25</v>
      </c>
      <c r="I13" s="10" t="str">
        <f t="shared" si="1"/>
        <v>AU</v>
      </c>
      <c r="J13" s="10" t="str">
        <f t="shared" si="2"/>
        <v>NOV</v>
      </c>
      <c r="R13" s="2"/>
      <c r="S13" s="2"/>
      <c r="T13" s="2"/>
      <c r="U13" s="6"/>
      <c r="V13" s="6"/>
      <c r="W13" s="2"/>
      <c r="X13" s="7"/>
      <c r="Y13" s="7"/>
      <c r="Z13" s="7"/>
      <c r="AA13" s="7"/>
    </row>
    <row r="14" spans="1:27" ht="15.75" customHeight="1" x14ac:dyDescent="0.25">
      <c r="A14" s="2" t="s">
        <v>60</v>
      </c>
      <c r="B14" s="2" t="s">
        <v>32</v>
      </c>
      <c r="C14" s="2" t="s">
        <v>61</v>
      </c>
      <c r="D14" s="6">
        <v>120</v>
      </c>
      <c r="E14" s="6">
        <v>35</v>
      </c>
      <c r="F14" s="2" t="s">
        <v>34</v>
      </c>
      <c r="G14" s="7" t="str">
        <f>IF(Table1[[#This Row],[Price ($)]]&gt;=500,"High Price","Standard Price")</f>
        <v>Standard Price</v>
      </c>
      <c r="H14" s="10" t="str">
        <f t="shared" si="0"/>
        <v>08</v>
      </c>
      <c r="I14" s="10" t="str">
        <f t="shared" si="1"/>
        <v>DE</v>
      </c>
      <c r="J14" s="10" t="str">
        <f t="shared" si="2"/>
        <v>DEC</v>
      </c>
      <c r="K14" t="s">
        <v>118</v>
      </c>
      <c r="O14">
        <f>COUNTIF(D2:D35,"&lt;100")</f>
        <v>11</v>
      </c>
      <c r="R14" s="7"/>
      <c r="S14" s="7"/>
      <c r="T14" s="7"/>
      <c r="U14" s="8"/>
      <c r="V14" s="8"/>
      <c r="W14" s="7"/>
      <c r="X14" s="7"/>
      <c r="Y14" s="7"/>
      <c r="Z14" s="7"/>
      <c r="AA14" s="7"/>
    </row>
    <row r="15" spans="1:27" ht="15.75" customHeight="1" x14ac:dyDescent="0.25">
      <c r="A15" s="7" t="s">
        <v>62</v>
      </c>
      <c r="B15" s="7" t="s">
        <v>63</v>
      </c>
      <c r="C15" s="7" t="s">
        <v>64</v>
      </c>
      <c r="D15" s="8">
        <v>150</v>
      </c>
      <c r="E15" s="8">
        <v>15</v>
      </c>
      <c r="F15" s="7" t="s">
        <v>26</v>
      </c>
      <c r="G15" s="7" t="str">
        <f>IF(Table1[[#This Row],[Price ($)]]&gt;=500,"High Price","Standard Price")</f>
        <v>Standard Price</v>
      </c>
      <c r="H15" s="10" t="str">
        <f t="shared" si="0"/>
        <v>18</v>
      </c>
      <c r="I15" s="10" t="str">
        <f t="shared" si="1"/>
        <v>CA</v>
      </c>
      <c r="J15" s="10" t="str">
        <f t="shared" si="2"/>
        <v>FEB</v>
      </c>
      <c r="R15" s="2"/>
      <c r="S15" s="2"/>
      <c r="T15" s="2"/>
      <c r="U15" s="6"/>
      <c r="V15" s="6"/>
      <c r="W15" s="2"/>
      <c r="X15" s="7"/>
      <c r="Y15" s="7"/>
      <c r="Z15" s="7"/>
      <c r="AA15" s="7"/>
    </row>
    <row r="16" spans="1:27" ht="15.75" customHeight="1" x14ac:dyDescent="0.25">
      <c r="A16" s="2" t="s">
        <v>65</v>
      </c>
      <c r="B16" s="2" t="s">
        <v>43</v>
      </c>
      <c r="C16" s="2" t="s">
        <v>66</v>
      </c>
      <c r="D16" s="6">
        <v>250</v>
      </c>
      <c r="E16" s="6">
        <v>20</v>
      </c>
      <c r="F16" s="2" t="s">
        <v>26</v>
      </c>
      <c r="G16" s="7" t="str">
        <f>IF(Table1[[#This Row],[Price ($)]]&gt;=500,"High Price","Standard Price")</f>
        <v>Standard Price</v>
      </c>
      <c r="H16" s="10" t="str">
        <f t="shared" si="0"/>
        <v>16</v>
      </c>
      <c r="I16" s="10" t="str">
        <f t="shared" si="1"/>
        <v>ES</v>
      </c>
      <c r="J16" s="10" t="str">
        <f t="shared" si="2"/>
        <v>APR</v>
      </c>
      <c r="R16" s="7"/>
      <c r="S16" s="7"/>
      <c r="T16" s="7"/>
      <c r="U16" s="8"/>
      <c r="V16" s="8"/>
      <c r="W16" s="7"/>
      <c r="X16" s="7"/>
      <c r="Y16" s="7"/>
      <c r="Z16" s="7"/>
      <c r="AA16" s="7"/>
    </row>
    <row r="17" spans="1:27" ht="15.75" customHeight="1" x14ac:dyDescent="0.25">
      <c r="A17" s="7" t="s">
        <v>67</v>
      </c>
      <c r="B17" s="7" t="s">
        <v>68</v>
      </c>
      <c r="C17" s="7" t="s">
        <v>69</v>
      </c>
      <c r="D17" s="8">
        <v>50</v>
      </c>
      <c r="E17" s="8">
        <v>35</v>
      </c>
      <c r="F17" s="7" t="s">
        <v>70</v>
      </c>
      <c r="G17" s="7" t="str">
        <f>IF(Table1[[#This Row],[Price ($)]]&gt;=500,"High Price","Standard Price")</f>
        <v>Standard Price</v>
      </c>
      <c r="H17" s="10" t="str">
        <f t="shared" si="0"/>
        <v>21</v>
      </c>
      <c r="I17" s="10" t="str">
        <f t="shared" si="1"/>
        <v>CA</v>
      </c>
      <c r="J17" s="10" t="str">
        <f t="shared" si="2"/>
        <v>AUG</v>
      </c>
      <c r="R17" s="2"/>
      <c r="S17" s="2"/>
      <c r="T17" s="2"/>
      <c r="U17" s="6"/>
      <c r="V17" s="6"/>
      <c r="W17" s="2"/>
      <c r="X17" s="7"/>
      <c r="Y17" s="7"/>
      <c r="Z17" s="7"/>
      <c r="AA17" s="7"/>
    </row>
    <row r="18" spans="1:27" ht="15.75" customHeight="1" x14ac:dyDescent="0.25">
      <c r="A18" s="2" t="s">
        <v>71</v>
      </c>
      <c r="B18" s="2" t="s">
        <v>63</v>
      </c>
      <c r="C18" s="2" t="s">
        <v>72</v>
      </c>
      <c r="D18" s="6">
        <v>160</v>
      </c>
      <c r="E18" s="6">
        <v>15</v>
      </c>
      <c r="F18" s="2" t="s">
        <v>26</v>
      </c>
      <c r="G18" s="7" t="str">
        <f>IF(Table1[[#This Row],[Price ($)]]&gt;=500,"High Price","Standard Price")</f>
        <v>Standard Price</v>
      </c>
      <c r="H18" s="10" t="str">
        <f t="shared" si="0"/>
        <v>20</v>
      </c>
      <c r="I18" s="10" t="str">
        <f t="shared" si="1"/>
        <v>CN</v>
      </c>
      <c r="J18" s="10" t="str">
        <f t="shared" si="2"/>
        <v>AUG</v>
      </c>
      <c r="R18" s="7"/>
      <c r="S18" s="7"/>
      <c r="T18" s="7"/>
      <c r="U18" s="8"/>
      <c r="V18" s="8"/>
      <c r="W18" s="7"/>
      <c r="X18" s="7"/>
      <c r="Y18" s="7"/>
      <c r="Z18" s="7"/>
      <c r="AA18" s="7"/>
    </row>
    <row r="19" spans="1:27" ht="15.75" customHeight="1" x14ac:dyDescent="0.25">
      <c r="A19" s="7" t="s">
        <v>73</v>
      </c>
      <c r="B19" s="7" t="s">
        <v>24</v>
      </c>
      <c r="C19" s="7" t="s">
        <v>74</v>
      </c>
      <c r="D19" s="8">
        <v>980</v>
      </c>
      <c r="E19" s="8">
        <v>10</v>
      </c>
      <c r="F19" s="7" t="s">
        <v>26</v>
      </c>
      <c r="G19" s="7" t="str">
        <f>IF(Table1[[#This Row],[Price ($)]]&gt;=500,"High Price","Standard Price")</f>
        <v>High Price</v>
      </c>
      <c r="H19" s="10" t="str">
        <f t="shared" si="0"/>
        <v>27</v>
      </c>
      <c r="I19" s="10" t="str">
        <f t="shared" si="1"/>
        <v>IT</v>
      </c>
      <c r="J19" s="10" t="str">
        <f t="shared" si="2"/>
        <v>JAN</v>
      </c>
      <c r="R19" s="2"/>
      <c r="S19" s="2"/>
      <c r="T19" s="2"/>
      <c r="U19" s="6"/>
      <c r="V19" s="6"/>
      <c r="W19" s="2"/>
      <c r="X19" s="7"/>
      <c r="Y19" s="7"/>
      <c r="Z19" s="7"/>
      <c r="AA19" s="7"/>
    </row>
    <row r="20" spans="1:27" ht="15.75" customHeight="1" x14ac:dyDescent="0.25">
      <c r="A20" s="2" t="s">
        <v>75</v>
      </c>
      <c r="B20" s="2" t="s">
        <v>76</v>
      </c>
      <c r="C20" s="2" t="s">
        <v>77</v>
      </c>
      <c r="D20" s="6">
        <v>150</v>
      </c>
      <c r="E20" s="6">
        <v>15</v>
      </c>
      <c r="F20" s="2" t="s">
        <v>30</v>
      </c>
      <c r="G20" s="7" t="str">
        <f>IF(Table1[[#This Row],[Price ($)]]&gt;=500,"High Price","Standard Price")</f>
        <v>Standard Price</v>
      </c>
      <c r="H20" s="10" t="str">
        <f t="shared" si="0"/>
        <v>01</v>
      </c>
      <c r="I20" s="10" t="str">
        <f t="shared" si="1"/>
        <v>UK</v>
      </c>
      <c r="J20" s="10" t="str">
        <f t="shared" si="2"/>
        <v>MAR</v>
      </c>
      <c r="R20" s="7"/>
      <c r="S20" s="7"/>
      <c r="T20" s="7"/>
      <c r="U20" s="8"/>
      <c r="V20" s="8"/>
      <c r="W20" s="7"/>
      <c r="X20" s="7"/>
      <c r="Y20" s="7"/>
      <c r="Z20" s="7"/>
      <c r="AA20" s="7"/>
    </row>
    <row r="21" spans="1:27" ht="15.75" customHeight="1" x14ac:dyDescent="0.25">
      <c r="A21" s="7" t="s">
        <v>78</v>
      </c>
      <c r="B21" s="7" t="s">
        <v>79</v>
      </c>
      <c r="C21" s="7" t="s">
        <v>80</v>
      </c>
      <c r="D21" s="8">
        <v>200</v>
      </c>
      <c r="E21" s="8">
        <v>10</v>
      </c>
      <c r="F21" s="7" t="s">
        <v>41</v>
      </c>
      <c r="G21" s="7" t="str">
        <f>IF(Table1[[#This Row],[Price ($)]]&gt;=500,"High Price","Standard Price")</f>
        <v>Standard Price</v>
      </c>
      <c r="H21" s="10" t="str">
        <f t="shared" si="0"/>
        <v>14</v>
      </c>
      <c r="I21" s="10" t="str">
        <f t="shared" si="1"/>
        <v>US</v>
      </c>
      <c r="J21" s="10" t="str">
        <f t="shared" si="2"/>
        <v>AUG</v>
      </c>
      <c r="R21" s="2"/>
      <c r="S21" s="2"/>
      <c r="T21" s="2"/>
      <c r="U21" s="6"/>
      <c r="V21" s="6"/>
      <c r="W21" s="2"/>
      <c r="X21" s="7"/>
      <c r="Y21" s="7"/>
      <c r="Z21" s="7"/>
      <c r="AA21" s="7"/>
    </row>
    <row r="22" spans="1:27" ht="15.75" customHeight="1" x14ac:dyDescent="0.25">
      <c r="A22" s="2" t="s">
        <v>81</v>
      </c>
      <c r="B22" s="2" t="s">
        <v>82</v>
      </c>
      <c r="C22" s="2" t="s">
        <v>83</v>
      </c>
      <c r="D22" s="6">
        <v>700</v>
      </c>
      <c r="E22" s="6">
        <v>50</v>
      </c>
      <c r="F22" s="2" t="s">
        <v>26</v>
      </c>
      <c r="G22" s="7" t="str">
        <f>IF(Table1[[#This Row],[Price ($)]]&gt;=500,"High Price","Standard Price")</f>
        <v>High Price</v>
      </c>
      <c r="H22" s="10" t="str">
        <f t="shared" si="0"/>
        <v>14</v>
      </c>
      <c r="I22" s="10" t="str">
        <f t="shared" si="1"/>
        <v>RU</v>
      </c>
      <c r="J22" s="10" t="str">
        <f t="shared" si="2"/>
        <v>MAY</v>
      </c>
      <c r="R22" s="7"/>
      <c r="S22" s="7"/>
      <c r="T22" s="7"/>
      <c r="U22" s="8"/>
      <c r="V22" s="8"/>
      <c r="W22" s="7"/>
      <c r="X22" s="7"/>
      <c r="Y22" s="7"/>
      <c r="Z22" s="7"/>
      <c r="AA22" s="7"/>
    </row>
    <row r="23" spans="1:27" ht="15.75" customHeight="1" x14ac:dyDescent="0.25">
      <c r="A23" s="7" t="s">
        <v>84</v>
      </c>
      <c r="B23" s="7" t="s">
        <v>85</v>
      </c>
      <c r="C23" s="7" t="s">
        <v>86</v>
      </c>
      <c r="D23" s="8">
        <v>80</v>
      </c>
      <c r="E23" s="8">
        <v>20</v>
      </c>
      <c r="F23" s="7" t="s">
        <v>34</v>
      </c>
      <c r="G23" s="7" t="str">
        <f>IF(Table1[[#This Row],[Price ($)]]&gt;=500,"High Price","Standard Price")</f>
        <v>Standard Price</v>
      </c>
      <c r="H23" s="10" t="str">
        <f t="shared" si="0"/>
        <v>09</v>
      </c>
      <c r="I23" s="10" t="str">
        <f t="shared" si="1"/>
        <v>CA</v>
      </c>
      <c r="J23" s="10" t="str">
        <f t="shared" si="2"/>
        <v>JAN</v>
      </c>
      <c r="R23" s="2"/>
      <c r="S23" s="2"/>
      <c r="T23" s="2"/>
      <c r="U23" s="6"/>
      <c r="V23" s="6"/>
      <c r="W23" s="2"/>
      <c r="X23" s="7"/>
      <c r="Y23" s="7"/>
      <c r="Z23" s="7"/>
      <c r="AA23" s="7"/>
    </row>
    <row r="24" spans="1:27" ht="15.75" customHeight="1" x14ac:dyDescent="0.25">
      <c r="A24" s="2" t="s">
        <v>87</v>
      </c>
      <c r="B24" s="2" t="s">
        <v>88</v>
      </c>
      <c r="C24" s="2" t="s">
        <v>89</v>
      </c>
      <c r="D24" s="6">
        <v>150</v>
      </c>
      <c r="E24" s="6">
        <v>30</v>
      </c>
      <c r="F24" s="2" t="s">
        <v>26</v>
      </c>
      <c r="G24" s="7" t="str">
        <f>IF(Table1[[#This Row],[Price ($)]]&gt;=500,"High Price","Standard Price")</f>
        <v>Standard Price</v>
      </c>
      <c r="H24" s="10" t="str">
        <f t="shared" si="0"/>
        <v>19</v>
      </c>
      <c r="I24" s="10" t="str">
        <f t="shared" si="1"/>
        <v>BR</v>
      </c>
      <c r="J24" s="10" t="str">
        <f t="shared" si="2"/>
        <v>JUL</v>
      </c>
      <c r="R24" s="7"/>
      <c r="S24" s="7"/>
      <c r="T24" s="7"/>
      <c r="U24" s="8"/>
      <c r="V24" s="8"/>
      <c r="W24" s="7"/>
      <c r="X24" s="7"/>
      <c r="Y24" s="7"/>
      <c r="Z24" s="7"/>
      <c r="AA24" s="7"/>
    </row>
    <row r="25" spans="1:27" ht="12.5" x14ac:dyDescent="0.25">
      <c r="A25" s="7" t="s">
        <v>67</v>
      </c>
      <c r="B25" s="7" t="s">
        <v>68</v>
      </c>
      <c r="C25" s="7" t="s">
        <v>69</v>
      </c>
      <c r="D25" s="8">
        <v>50</v>
      </c>
      <c r="E25" s="8">
        <v>35</v>
      </c>
      <c r="F25" s="7" t="s">
        <v>70</v>
      </c>
      <c r="G25" s="7" t="str">
        <f>IF(Table1[[#This Row],[Price ($)]]&gt;=500,"High Price","Standard Price")</f>
        <v>Standard Price</v>
      </c>
      <c r="H25" s="10" t="str">
        <f t="shared" si="0"/>
        <v>21</v>
      </c>
      <c r="I25" s="10" t="str">
        <f t="shared" si="1"/>
        <v>CA</v>
      </c>
      <c r="J25" s="10" t="str">
        <f t="shared" si="2"/>
        <v>AUG</v>
      </c>
      <c r="R25" s="2"/>
      <c r="S25" s="2"/>
      <c r="T25" s="2"/>
      <c r="U25" s="6"/>
      <c r="V25" s="6"/>
      <c r="W25" s="2"/>
      <c r="X25" s="7"/>
      <c r="Y25" s="7"/>
      <c r="Z25" s="7"/>
      <c r="AA25" s="7"/>
    </row>
    <row r="26" spans="1:27" ht="12.5" x14ac:dyDescent="0.25">
      <c r="A26" s="2" t="s">
        <v>90</v>
      </c>
      <c r="B26" s="2" t="s">
        <v>36</v>
      </c>
      <c r="C26" s="2" t="s">
        <v>91</v>
      </c>
      <c r="D26" s="6">
        <v>800</v>
      </c>
      <c r="E26" s="6">
        <v>45</v>
      </c>
      <c r="F26" s="2" t="s">
        <v>26</v>
      </c>
      <c r="G26" s="7" t="str">
        <f>IF(Table1[[#This Row],[Price ($)]]&gt;=500,"High Price","Standard Price")</f>
        <v>High Price</v>
      </c>
      <c r="H26" s="10" t="str">
        <f t="shared" si="0"/>
        <v>29</v>
      </c>
      <c r="I26" s="10" t="str">
        <f t="shared" si="1"/>
        <v>CA</v>
      </c>
      <c r="J26" s="10" t="str">
        <f t="shared" si="2"/>
        <v>SEP</v>
      </c>
      <c r="R26" s="2"/>
      <c r="S26" s="2"/>
      <c r="T26" s="2"/>
      <c r="U26" s="6"/>
      <c r="V26" s="6"/>
      <c r="W26" s="2"/>
      <c r="X26" s="7"/>
      <c r="Y26" s="7"/>
      <c r="Z26" s="7"/>
      <c r="AA26" s="7"/>
    </row>
    <row r="27" spans="1:27" ht="12.5" x14ac:dyDescent="0.25">
      <c r="A27" s="7" t="s">
        <v>92</v>
      </c>
      <c r="B27" s="7" t="s">
        <v>76</v>
      </c>
      <c r="C27" s="7" t="s">
        <v>93</v>
      </c>
      <c r="D27" s="8">
        <v>130</v>
      </c>
      <c r="E27" s="8">
        <v>25</v>
      </c>
      <c r="F27" s="7" t="s">
        <v>30</v>
      </c>
      <c r="G27" s="7" t="str">
        <f>IF(Table1[[#This Row],[Price ($)]]&gt;=500,"High Price","Standard Price")</f>
        <v>Standard Price</v>
      </c>
      <c r="H27" s="10" t="str">
        <f t="shared" si="0"/>
        <v>03</v>
      </c>
      <c r="I27" s="10" t="str">
        <f t="shared" si="1"/>
        <v>CA</v>
      </c>
      <c r="J27" s="10" t="str">
        <f t="shared" si="2"/>
        <v>JUN</v>
      </c>
      <c r="R27" s="7"/>
      <c r="S27" s="7"/>
      <c r="T27" s="7"/>
      <c r="U27" s="8"/>
      <c r="V27" s="8"/>
      <c r="W27" s="7"/>
      <c r="X27" s="7"/>
      <c r="Y27" s="7"/>
      <c r="Z27" s="7"/>
      <c r="AA27" s="7"/>
    </row>
    <row r="28" spans="1:27" ht="12.5" x14ac:dyDescent="0.25">
      <c r="A28" s="2" t="s">
        <v>94</v>
      </c>
      <c r="B28" s="2" t="s">
        <v>49</v>
      </c>
      <c r="C28" s="2" t="s">
        <v>95</v>
      </c>
      <c r="D28" s="6">
        <v>400</v>
      </c>
      <c r="E28" s="6">
        <v>40</v>
      </c>
      <c r="F28" s="2" t="s">
        <v>34</v>
      </c>
      <c r="G28" s="7" t="str">
        <f>IF(Table1[[#This Row],[Price ($)]]&gt;=500,"High Price","Standard Price")</f>
        <v>Standard Price</v>
      </c>
      <c r="H28" s="10" t="str">
        <f t="shared" si="0"/>
        <v>11</v>
      </c>
      <c r="I28" s="10" t="str">
        <f t="shared" si="1"/>
        <v>CA</v>
      </c>
      <c r="J28" s="10" t="str">
        <f t="shared" si="2"/>
        <v>JUL</v>
      </c>
      <c r="R28" s="2"/>
      <c r="S28" s="2"/>
      <c r="T28" s="2"/>
      <c r="U28" s="6"/>
      <c r="V28" s="6"/>
      <c r="W28" s="2"/>
      <c r="X28" s="7"/>
      <c r="Y28" s="7"/>
      <c r="Z28" s="7"/>
      <c r="AA28" s="7"/>
    </row>
    <row r="29" spans="1:27" ht="12.5" x14ac:dyDescent="0.25">
      <c r="A29" s="7" t="s">
        <v>65</v>
      </c>
      <c r="B29" s="7" t="s">
        <v>43</v>
      </c>
      <c r="C29" s="7" t="s">
        <v>66</v>
      </c>
      <c r="D29" s="8">
        <v>230</v>
      </c>
      <c r="E29" s="8">
        <v>20</v>
      </c>
      <c r="F29" s="7" t="s">
        <v>26</v>
      </c>
      <c r="G29" s="7" t="str">
        <f>IF(Table1[[#This Row],[Price ($)]]&gt;=500,"High Price","Standard Price")</f>
        <v>Standard Price</v>
      </c>
      <c r="H29" s="10" t="str">
        <f t="shared" si="0"/>
        <v>16</v>
      </c>
      <c r="I29" s="10" t="str">
        <f t="shared" si="1"/>
        <v>ES</v>
      </c>
      <c r="J29" s="10" t="str">
        <f t="shared" si="2"/>
        <v>APR</v>
      </c>
      <c r="R29" s="7"/>
      <c r="S29" s="7"/>
      <c r="T29" s="7"/>
      <c r="U29" s="8"/>
      <c r="V29" s="8"/>
      <c r="W29" s="7"/>
      <c r="X29" s="7"/>
      <c r="Y29" s="7"/>
      <c r="Z29" s="7"/>
      <c r="AA29" s="7"/>
    </row>
    <row r="30" spans="1:27" ht="12.5" x14ac:dyDescent="0.25">
      <c r="A30" s="2" t="s">
        <v>96</v>
      </c>
      <c r="B30" s="2" t="s">
        <v>97</v>
      </c>
      <c r="C30" s="2" t="s">
        <v>98</v>
      </c>
      <c r="D30" s="6">
        <v>60</v>
      </c>
      <c r="E30" s="6">
        <v>30</v>
      </c>
      <c r="F30" s="2" t="s">
        <v>30</v>
      </c>
      <c r="G30" s="7" t="str">
        <f>IF(Table1[[#This Row],[Price ($)]]&gt;=500,"High Price","Standard Price")</f>
        <v>Standard Price</v>
      </c>
      <c r="H30" s="10" t="str">
        <f t="shared" si="0"/>
        <v>07</v>
      </c>
      <c r="I30" s="10" t="str">
        <f t="shared" si="1"/>
        <v>CA</v>
      </c>
      <c r="J30" s="10" t="str">
        <f t="shared" si="2"/>
        <v>MAR</v>
      </c>
      <c r="R30" s="2"/>
      <c r="S30" s="2"/>
      <c r="T30" s="2"/>
      <c r="U30" s="6"/>
      <c r="V30" s="6"/>
      <c r="W30" s="2"/>
      <c r="X30" s="7"/>
      <c r="Y30" s="7"/>
      <c r="Z30" s="7"/>
      <c r="AA30" s="7"/>
    </row>
    <row r="31" spans="1:27" ht="12.5" x14ac:dyDescent="0.25">
      <c r="A31" s="7" t="s">
        <v>99</v>
      </c>
      <c r="B31" s="7" t="s">
        <v>100</v>
      </c>
      <c r="C31" s="7" t="s">
        <v>101</v>
      </c>
      <c r="D31" s="8">
        <v>40</v>
      </c>
      <c r="E31" s="8">
        <v>10</v>
      </c>
      <c r="F31" s="7" t="s">
        <v>34</v>
      </c>
      <c r="G31" s="7" t="str">
        <f>IF(Table1[[#This Row],[Price ($)]]&gt;=500,"High Price","Standard Price")</f>
        <v>Standard Price</v>
      </c>
      <c r="H31" s="10" t="str">
        <f t="shared" si="0"/>
        <v>13</v>
      </c>
      <c r="I31" s="10" t="str">
        <f t="shared" si="1"/>
        <v>CA</v>
      </c>
      <c r="J31" s="10" t="str">
        <f t="shared" si="2"/>
        <v>APR</v>
      </c>
      <c r="R31" s="7"/>
      <c r="S31" s="7"/>
      <c r="T31" s="7"/>
      <c r="U31" s="8"/>
      <c r="V31" s="8"/>
      <c r="W31" s="7"/>
      <c r="X31" s="7"/>
      <c r="Y31" s="7"/>
      <c r="Z31" s="7"/>
      <c r="AA31" s="7"/>
    </row>
    <row r="32" spans="1:27" ht="12.5" x14ac:dyDescent="0.25">
      <c r="A32" s="2" t="s">
        <v>102</v>
      </c>
      <c r="B32" s="2" t="s">
        <v>88</v>
      </c>
      <c r="C32" s="2" t="s">
        <v>103</v>
      </c>
      <c r="D32" s="6">
        <v>130</v>
      </c>
      <c r="E32" s="6">
        <v>5</v>
      </c>
      <c r="F32" s="2" t="s">
        <v>26</v>
      </c>
      <c r="G32" s="7" t="str">
        <f>IF(Table1[[#This Row],[Price ($)]]&gt;=500,"High Price","Standard Price")</f>
        <v>Standard Price</v>
      </c>
      <c r="H32" s="10" t="str">
        <f t="shared" si="0"/>
        <v>24</v>
      </c>
      <c r="I32" s="10" t="str">
        <f t="shared" si="1"/>
        <v>CA</v>
      </c>
      <c r="J32" s="10" t="str">
        <f t="shared" si="2"/>
        <v>MAY</v>
      </c>
      <c r="R32" s="2"/>
      <c r="S32" s="2"/>
      <c r="T32" s="2"/>
      <c r="U32" s="6"/>
      <c r="V32" s="6"/>
      <c r="W32" s="2"/>
      <c r="X32" s="7"/>
      <c r="Y32" s="7"/>
      <c r="Z32" s="7"/>
      <c r="AA32" s="7"/>
    </row>
    <row r="33" spans="1:27" ht="12.5" x14ac:dyDescent="0.25">
      <c r="A33" s="7" t="s">
        <v>104</v>
      </c>
      <c r="B33" s="7" t="s">
        <v>105</v>
      </c>
      <c r="C33" s="7" t="s">
        <v>106</v>
      </c>
      <c r="D33" s="8">
        <v>50</v>
      </c>
      <c r="E33" s="8">
        <v>50</v>
      </c>
      <c r="F33" s="7" t="s">
        <v>30</v>
      </c>
      <c r="G33" s="7" t="str">
        <f>IF(Table1[[#This Row],[Price ($)]]&gt;=500,"High Price","Standard Price")</f>
        <v>Standard Price</v>
      </c>
      <c r="H33" s="10" t="str">
        <f t="shared" si="0"/>
        <v>02</v>
      </c>
      <c r="I33" s="10" t="str">
        <f t="shared" si="1"/>
        <v>CA</v>
      </c>
      <c r="J33" s="10" t="str">
        <f t="shared" si="2"/>
        <v>DEC</v>
      </c>
      <c r="R33" s="7"/>
      <c r="S33" s="7"/>
      <c r="T33" s="7"/>
      <c r="U33" s="8"/>
      <c r="V33" s="8"/>
      <c r="W33" s="7"/>
      <c r="X33" s="7"/>
      <c r="Y33" s="7"/>
      <c r="Z33" s="7"/>
      <c r="AA33" s="7"/>
    </row>
    <row r="34" spans="1:27" ht="12.5" x14ac:dyDescent="0.25">
      <c r="A34" s="2" t="s">
        <v>57</v>
      </c>
      <c r="B34" s="2" t="s">
        <v>24</v>
      </c>
      <c r="C34" s="2" t="s">
        <v>58</v>
      </c>
      <c r="D34" s="6">
        <v>950</v>
      </c>
      <c r="E34" s="6">
        <v>25</v>
      </c>
      <c r="F34" s="2" t="s">
        <v>26</v>
      </c>
      <c r="G34" s="7" t="str">
        <f>IF(Table1[[#This Row],[Price ($)]]&gt;=500,"High Price","Standard Price")</f>
        <v>High Price</v>
      </c>
      <c r="H34" s="10" t="str">
        <f t="shared" si="0"/>
        <v>17</v>
      </c>
      <c r="I34" s="10" t="str">
        <f t="shared" si="1"/>
        <v>IN</v>
      </c>
      <c r="J34" s="10" t="str">
        <f t="shared" si="2"/>
        <v>JUN</v>
      </c>
      <c r="R34" s="7"/>
      <c r="S34" s="7"/>
      <c r="T34" s="7"/>
      <c r="U34" s="8"/>
      <c r="V34" s="8"/>
      <c r="W34" s="7"/>
      <c r="X34" s="7"/>
      <c r="Y34" s="7"/>
      <c r="Z34" s="7"/>
      <c r="AA34" s="7"/>
    </row>
    <row r="35" spans="1:27" ht="12.5" x14ac:dyDescent="0.25">
      <c r="A35" s="7" t="s">
        <v>107</v>
      </c>
      <c r="B35" s="7" t="s">
        <v>108</v>
      </c>
      <c r="C35" s="7" t="s">
        <v>109</v>
      </c>
      <c r="D35" s="8">
        <v>100</v>
      </c>
      <c r="E35" s="8">
        <v>20</v>
      </c>
      <c r="F35" s="7" t="s">
        <v>70</v>
      </c>
      <c r="G35" s="7" t="str">
        <f>IF(Table1[[#This Row],[Price ($)]]&gt;=500,"High Price","Standard Price")</f>
        <v>Standard Price</v>
      </c>
      <c r="H35" s="10" t="str">
        <f t="shared" si="0"/>
        <v>09</v>
      </c>
      <c r="I35" s="10" t="str">
        <f t="shared" si="1"/>
        <v>FR</v>
      </c>
      <c r="J35" s="10" t="str">
        <f t="shared" si="2"/>
        <v>JUL</v>
      </c>
    </row>
    <row r="36" spans="1:27" ht="15.75" customHeight="1" x14ac:dyDescent="0.25">
      <c r="H36" s="11"/>
      <c r="I36" s="11"/>
      <c r="J36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Instructions</vt:lpstr>
      <vt:lpstr>Dataset</vt:lpstr>
      <vt:lpstr>Dataset!Criteria</vt:lpstr>
      <vt:lpstr>Dataset!Extract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Mandiga_ 22995931</cp:lastModifiedBy>
  <dcterms:modified xsi:type="dcterms:W3CDTF">2026-06-26T14:31:24Z</dcterms:modified>
</cp:coreProperties>
</file>